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uofnebraska-my.sharepoint.com/personal/64147067_nebraska_edu/Documents/UNO/CIVE 202/"/>
    </mc:Choice>
  </mc:AlternateContent>
  <xr:revisionPtr revIDLastSave="209" documentId="8_{2AE34D58-F12D-4E54-9F08-D9511520E5FD}" xr6:coauthVersionLast="47" xr6:coauthVersionMax="47" xr10:uidLastSave="{A99A61B2-49F9-49FA-A0D0-2FF7EAA49EF8}"/>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schedule'!$R$2</definedName>
    <definedName name="_xlnm.Print_Titles" localSheetId="0">'Project schedule'!$4:$6</definedName>
    <definedName name="Project_Start">'Project schedule'!$R$1</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1" l="1"/>
  <c r="F24" i="11"/>
  <c r="F25" i="11" s="1"/>
  <c r="G20" i="11"/>
  <c r="F21" i="11" s="1"/>
  <c r="G21" i="11" s="1"/>
  <c r="F22" i="11" s="1"/>
  <c r="G22" i="11" s="1"/>
  <c r="I7" i="11"/>
  <c r="G26" i="11" l="1"/>
  <c r="F27" i="11"/>
  <c r="F9" i="11"/>
  <c r="G27" i="11" l="1"/>
  <c r="F28" i="11"/>
  <c r="G28" i="11" s="1"/>
  <c r="G9" i="11"/>
  <c r="F10" i="11"/>
  <c r="G24" i="11"/>
  <c r="J5" i="11"/>
  <c r="I30" i="11"/>
  <c r="I29" i="11"/>
  <c r="I19" i="11"/>
  <c r="I14" i="11"/>
  <c r="I8" i="11"/>
  <c r="G10" i="11" l="1"/>
  <c r="F11" i="11" s="1"/>
  <c r="G11" i="11" s="1"/>
  <c r="F12" i="11" s="1"/>
  <c r="G12" i="11" s="1"/>
  <c r="F13" i="11"/>
  <c r="I20" i="11"/>
  <c r="I21" i="11"/>
  <c r="I9" i="11"/>
  <c r="J6" i="11"/>
  <c r="G13" i="11" l="1"/>
  <c r="F15" i="11"/>
  <c r="I28" i="11"/>
  <c r="I27" i="11"/>
  <c r="I24" i="11"/>
  <c r="I10" i="11"/>
  <c r="I22" i="11"/>
  <c r="I13" i="11"/>
  <c r="K5" i="11"/>
  <c r="L5" i="11" s="1"/>
  <c r="M5" i="11" s="1"/>
  <c r="N5" i="11" s="1"/>
  <c r="O5" i="11" s="1"/>
  <c r="P5" i="11" s="1"/>
  <c r="Q5" i="11" s="1"/>
  <c r="J4" i="11"/>
  <c r="G15" i="11" l="1"/>
  <c r="I15" i="11" s="1"/>
  <c r="F16" i="11"/>
  <c r="I26" i="11"/>
  <c r="I25" i="11"/>
  <c r="I11" i="11"/>
  <c r="I12" i="11"/>
  <c r="Q4" i="11"/>
  <c r="R5" i="11"/>
  <c r="S5" i="11" s="1"/>
  <c r="T5" i="11" s="1"/>
  <c r="U5" i="11" s="1"/>
  <c r="V5" i="11" s="1"/>
  <c r="W5" i="11" s="1"/>
  <c r="X5" i="11" s="1"/>
  <c r="K6" i="11"/>
  <c r="G16" i="11" l="1"/>
  <c r="I23" i="11"/>
  <c r="X4" i="11"/>
  <c r="Y5" i="11"/>
  <c r="Z5" i="11" s="1"/>
  <c r="AA5" i="11" s="1"/>
  <c r="AB5" i="11" s="1"/>
  <c r="AC5" i="11" s="1"/>
  <c r="AD5" i="11" s="1"/>
  <c r="AE5" i="11" s="1"/>
  <c r="L6" i="11"/>
  <c r="F17" i="11" l="1"/>
  <c r="I16" i="11"/>
  <c r="AF5" i="11"/>
  <c r="AG5" i="11" s="1"/>
  <c r="AH5" i="11" s="1"/>
  <c r="AI5" i="11" s="1"/>
  <c r="AJ5" i="11" s="1"/>
  <c r="AK5" i="11" s="1"/>
  <c r="AE4" i="11"/>
  <c r="M6" i="11"/>
  <c r="F18" i="11" l="1"/>
  <c r="G18" i="11" s="1"/>
  <c r="I18" i="11" s="1"/>
  <c r="G17" i="11"/>
  <c r="I17" i="11" s="1"/>
  <c r="AL5" i="1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sharedStrings.xml><?xml version="1.0" encoding="utf-8"?>
<sst xmlns="http://schemas.openxmlformats.org/spreadsheetml/2006/main" count="72" uniqueCount="57">
  <si>
    <t>CIVE 202 Project 5</t>
  </si>
  <si>
    <t>Project start:</t>
  </si>
  <si>
    <t>Rashid Hamid, Abdi Aden, and Abbas Bashir</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</si>
  <si>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</si>
  <si>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</si>
  <si>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</si>
  <si>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</si>
  <si>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</si>
  <si>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</si>
  <si>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</si>
  <si>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</si>
  <si>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</si>
  <si>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</si>
  <si>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Data Preparation and Coding</t>
  </si>
  <si>
    <t>Import USGS ND Water Quality CSV</t>
  </si>
  <si>
    <t>All</t>
  </si>
  <si>
    <t>Import Canal Location File</t>
  </si>
  <si>
    <t>Rashid Hamid</t>
  </si>
  <si>
    <t>Clean to Python standard</t>
  </si>
  <si>
    <t>9, 10</t>
  </si>
  <si>
    <t>Abdi Aden</t>
  </si>
  <si>
    <t>Filter Major Cation and Anions</t>
  </si>
  <si>
    <t>Organize by Location</t>
  </si>
  <si>
    <t>Analysis and Modeling</t>
  </si>
  <si>
    <t>Compute mean, median, min and max</t>
  </si>
  <si>
    <t>Generate 4 Boxplots</t>
  </si>
  <si>
    <t>Develop Mass Balance &amp; Dynamic TDS Function</t>
  </si>
  <si>
    <t>Run Scenario Testing &amp; Validate Results</t>
  </si>
  <si>
    <t>15,16,19</t>
  </si>
  <si>
    <t>Required Coding</t>
  </si>
  <si>
    <t>Install &amp; Implement 3+ Packages</t>
  </si>
  <si>
    <t>Create Reusable Functions</t>
  </si>
  <si>
    <t>Abbas Bashir</t>
  </si>
  <si>
    <t>Discussion Over Bias/Ethics</t>
  </si>
  <si>
    <t xml:space="preserve">Deliverables </t>
  </si>
  <si>
    <t>Scope of Work</t>
  </si>
  <si>
    <t>Timesheet</t>
  </si>
  <si>
    <t>Technical Executive Summary</t>
  </si>
  <si>
    <t>Non Technical Summary</t>
  </si>
  <si>
    <t>Project Closeout &amp; Review</t>
  </si>
  <si>
    <t>18, 26, 27</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</si>
  <si>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</si>
  <si>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</si>
  <si>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</si>
  <si>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</si>
  <si>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</si>
  <si>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</si>
  <si>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</si>
  <si>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</si>
  <si>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</si>
  <si>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</si>
  <si>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</si>
  <si>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</si>
  <si>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</si>
  <si>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</si>
  <si>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 xml:space="preserve">Dependencies </t>
  </si>
  <si>
    <t>based on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</si>
</sst>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5"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0"/>
      <color rgb="FF000000"/>
      <name val="Arial"/>
    </font>
    <font>
      <sz val="10"/>
      <color rgb="FF000000"/>
      <name val="Arial"/>
      <family val="2"/>
    </font>
    <font>
      <sz val="8"/>
      <color theme="1"/>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E0D3FE"/>
        <bgColor rgb="FF000000"/>
      </patternFill>
    </fill>
    <fill>
      <patternFill patternType="solid">
        <fgColor rgb="FFFFC4F1"/>
        <bgColor rgb="FF000000"/>
      </patternFill>
    </fill>
    <fill>
      <patternFill patternType="solid">
        <fgColor rgb="FFE4F3EB"/>
        <bgColor rgb="FF000000"/>
      </patternFill>
    </fill>
    <fill>
      <patternFill patternType="solid">
        <fgColor rgb="FFFFFAD2"/>
        <bgColor rgb="FF000000"/>
      </patternFill>
    </fill>
  </fills>
  <borders count="2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thin">
        <color rgb="FFC1A9FC"/>
      </bottom>
      <diagonal/>
    </border>
    <border>
      <left/>
      <right/>
      <top style="thin">
        <color rgb="FFFF88E4"/>
      </top>
      <bottom style="thin">
        <color rgb="FFFF88E4"/>
      </bottom>
      <diagonal/>
    </border>
    <border>
      <left/>
      <right/>
      <top/>
      <bottom style="thin">
        <color rgb="FFFF88E4"/>
      </bottom>
      <diagonal/>
    </border>
    <border>
      <left/>
      <right/>
      <top style="thin">
        <color rgb="FFCAEAD7"/>
      </top>
      <bottom style="thin">
        <color rgb="FFCAEAD7"/>
      </bottom>
      <diagonal/>
    </border>
    <border>
      <left/>
      <right/>
      <top/>
      <bottom style="thin">
        <color rgb="FFCAEAD7"/>
      </bottom>
      <diagonal/>
    </border>
    <border>
      <left/>
      <right/>
      <top style="thin">
        <color rgb="FFFFF4A8"/>
      </top>
      <bottom style="thin">
        <color rgb="FFFFF4A8"/>
      </bottom>
      <diagonal/>
    </border>
    <border>
      <left/>
      <right/>
      <top/>
      <bottom style="thin">
        <color rgb="FFFFF4A8"/>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32" fillId="13" borderId="22" xfId="0" applyFont="1" applyFill="1" applyBorder="1"/>
    <xf numFmtId="0" fontId="32" fillId="14" borderId="23" xfId="0" applyFont="1" applyFill="1" applyBorder="1"/>
    <xf numFmtId="0" fontId="32" fillId="14" borderId="24" xfId="0" applyFont="1" applyFill="1" applyBorder="1"/>
    <xf numFmtId="0" fontId="32" fillId="13" borderId="0" xfId="0" applyFont="1" applyFill="1"/>
    <xf numFmtId="0" fontId="32" fillId="14" borderId="0" xfId="0" applyFont="1" applyFill="1"/>
    <xf numFmtId="0" fontId="32" fillId="15" borderId="25" xfId="0" applyFont="1" applyFill="1" applyBorder="1"/>
    <xf numFmtId="0" fontId="32" fillId="15" borderId="26" xfId="0" applyFont="1" applyFill="1" applyBorder="1"/>
    <xf numFmtId="0" fontId="32" fillId="16" borderId="27" xfId="0" applyFont="1" applyFill="1" applyBorder="1"/>
    <xf numFmtId="0" fontId="32" fillId="16" borderId="28" xfId="0" applyFont="1" applyFill="1" applyBorder="1"/>
    <xf numFmtId="0" fontId="32" fillId="16" borderId="0" xfId="0" applyFont="1" applyFill="1"/>
    <xf numFmtId="0" fontId="32" fillId="15" borderId="0" xfId="0" applyFont="1" applyFill="1"/>
    <xf numFmtId="0" fontId="33" fillId="13" borderId="0" xfId="0" applyFont="1" applyFill="1"/>
    <xf numFmtId="0" fontId="33" fillId="14" borderId="0" xfId="0" applyFont="1" applyFill="1"/>
    <xf numFmtId="0" fontId="33" fillId="15" borderId="0" xfId="0" applyFont="1" applyFill="1"/>
    <xf numFmtId="0" fontId="33" fillId="16" borderId="0" xfId="0" applyFont="1" applyFill="1"/>
    <xf numFmtId="0" fontId="34" fillId="6" borderId="0" xfId="0" applyFont="1" applyFill="1" applyAlignment="1">
      <alignment horizontal="left" vertical="center" inden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33"/>
  <sheetViews>
    <sheetView showGridLines="0" tabSelected="1" showRuler="0" zoomScale="73" zoomScaleNormal="81" zoomScalePageLayoutView="70" workbookViewId="0">
      <selection activeCell="D3" sqref="D3"/>
    </sheetView>
  </sheetViews>
  <sheetFormatPr defaultColWidth="8.69921875" defaultRowHeight="30" customHeight="1" x14ac:dyDescent="0.25"/>
  <cols>
    <col min="1" max="1" width="2.69921875" style="13" customWidth="1"/>
    <col min="2" max="2" width="55.5" customWidth="1"/>
    <col min="3" max="3" width="14.8984375" customWidth="1"/>
    <col min="4" max="4" width="16.69921875" customWidth="1"/>
    <col min="5" max="5" width="10.69921875" customWidth="1"/>
    <col min="6" max="6" width="10.69921875" style="2" customWidth="1"/>
    <col min="7" max="7" width="10.69921875" customWidth="1"/>
    <col min="8" max="8" width="2.69921875" customWidth="1"/>
    <col min="9" max="9" width="6" hidden="1" customWidth="1"/>
    <col min="10" max="66" width="2.69921875" customWidth="1"/>
  </cols>
  <sheetData>
    <row r="1" spans="1:65" ht="90" customHeight="1" x14ac:dyDescent="1.45">
      <c r="A1" s="14"/>
      <c r="B1" s="93" t="s">
        <v>0</v>
      </c>
      <c r="C1" s="93"/>
      <c r="D1" s="18"/>
      <c r="E1" s="19"/>
      <c r="F1" s="20"/>
      <c r="G1" s="21"/>
      <c r="I1" s="1"/>
      <c r="J1" s="125" t="s">
        <v>1</v>
      </c>
      <c r="K1" s="126"/>
      <c r="L1" s="126"/>
      <c r="M1" s="126"/>
      <c r="N1" s="126"/>
      <c r="O1" s="126"/>
      <c r="P1" s="126"/>
      <c r="Q1" s="24"/>
      <c r="R1" s="124">
        <v>46118</v>
      </c>
      <c r="S1" s="123"/>
      <c r="T1" s="123"/>
      <c r="U1" s="123"/>
      <c r="V1" s="123"/>
      <c r="W1" s="123"/>
      <c r="X1" s="123"/>
      <c r="Y1" s="123"/>
      <c r="Z1" s="123"/>
      <c r="AA1" s="123"/>
    </row>
    <row r="2" spans="1:65" ht="30" customHeight="1" x14ac:dyDescent="0.6">
      <c r="B2" s="91" t="s">
        <v>2</v>
      </c>
      <c r="C2" s="91"/>
      <c r="D2" s="92" t="s">
        <v>3</v>
      </c>
      <c r="E2" s="22"/>
      <c r="F2" s="23"/>
      <c r="G2" s="22"/>
      <c r="J2" s="125" t="s">
        <v>4</v>
      </c>
      <c r="K2" s="126"/>
      <c r="L2" s="126"/>
      <c r="M2" s="126"/>
      <c r="N2" s="126"/>
      <c r="O2" s="126"/>
      <c r="P2" s="126"/>
      <c r="Q2" s="24"/>
      <c r="R2" s="122">
        <v>1</v>
      </c>
      <c r="S2" s="123"/>
      <c r="T2" s="123"/>
      <c r="U2" s="123"/>
      <c r="V2" s="123"/>
      <c r="W2" s="123"/>
      <c r="X2" s="123"/>
      <c r="Y2" s="123"/>
      <c r="Z2" s="123"/>
      <c r="AA2" s="123"/>
    </row>
    <row r="3" spans="1:65" s="26" customFormat="1" ht="30" customHeight="1" x14ac:dyDescent="0.25">
      <c r="A3" s="13"/>
      <c r="B3" s="25" t="s">
        <v>5</v>
      </c>
      <c r="C3" s="25"/>
      <c r="E3" s="27"/>
      <c r="F3" s="28"/>
    </row>
    <row r="4" spans="1:65" s="26" customFormat="1" ht="30" customHeight="1" x14ac:dyDescent="0.25">
      <c r="A4" s="14"/>
      <c r="B4" s="29" t="s">
        <v>6</v>
      </c>
      <c r="C4" s="29"/>
      <c r="F4" s="30"/>
      <c r="J4" s="119">
        <f>J5</f>
        <v>46118</v>
      </c>
      <c r="K4" s="117"/>
      <c r="L4" s="117"/>
      <c r="M4" s="117"/>
      <c r="N4" s="117"/>
      <c r="O4" s="117"/>
      <c r="P4" s="117"/>
      <c r="Q4" s="117">
        <f>Q5</f>
        <v>46125</v>
      </c>
      <c r="R4" s="117"/>
      <c r="S4" s="117"/>
      <c r="T4" s="117"/>
      <c r="U4" s="117"/>
      <c r="V4" s="117"/>
      <c r="W4" s="117"/>
      <c r="X4" s="117">
        <f>X5</f>
        <v>46132</v>
      </c>
      <c r="Y4" s="117"/>
      <c r="Z4" s="117"/>
      <c r="AA4" s="117"/>
      <c r="AB4" s="117"/>
      <c r="AC4" s="117"/>
      <c r="AD4" s="117"/>
      <c r="AE4" s="117">
        <f>AE5</f>
        <v>46139</v>
      </c>
      <c r="AF4" s="117"/>
      <c r="AG4" s="117"/>
      <c r="AH4" s="117"/>
      <c r="AI4" s="117"/>
      <c r="AJ4" s="117"/>
      <c r="AK4" s="117"/>
      <c r="AL4" s="117">
        <f>AL5</f>
        <v>46146</v>
      </c>
      <c r="AM4" s="117"/>
      <c r="AN4" s="117"/>
      <c r="AO4" s="117"/>
      <c r="AP4" s="117"/>
      <c r="AQ4" s="117"/>
      <c r="AR4" s="117"/>
      <c r="AS4" s="117">
        <f>AS5</f>
        <v>46153</v>
      </c>
      <c r="AT4" s="117"/>
      <c r="AU4" s="117"/>
      <c r="AV4" s="117"/>
      <c r="AW4" s="117"/>
      <c r="AX4" s="117"/>
      <c r="AY4" s="117"/>
      <c r="AZ4" s="117">
        <f>AZ5</f>
        <v>46160</v>
      </c>
      <c r="BA4" s="117"/>
      <c r="BB4" s="117"/>
      <c r="BC4" s="117"/>
      <c r="BD4" s="117"/>
      <c r="BE4" s="117"/>
      <c r="BF4" s="117"/>
      <c r="BG4" s="117">
        <f>BG5</f>
        <v>46167</v>
      </c>
      <c r="BH4" s="117"/>
      <c r="BI4" s="117"/>
      <c r="BJ4" s="117"/>
      <c r="BK4" s="117"/>
      <c r="BL4" s="117"/>
      <c r="BM4" s="118"/>
    </row>
    <row r="5" spans="1:65" s="26" customFormat="1" ht="15" customHeight="1" x14ac:dyDescent="0.25">
      <c r="A5" s="127"/>
      <c r="B5" s="128" t="s">
        <v>7</v>
      </c>
      <c r="C5" s="130" t="s">
        <v>55</v>
      </c>
      <c r="D5" s="130" t="s">
        <v>8</v>
      </c>
      <c r="E5" s="120" t="s">
        <v>9</v>
      </c>
      <c r="F5" s="120" t="s">
        <v>10</v>
      </c>
      <c r="G5" s="120" t="s">
        <v>11</v>
      </c>
      <c r="J5" s="31">
        <f>Project_Start-WEEKDAY(Project_Start,1)+2+7*(Display_Week-1)</f>
        <v>46118</v>
      </c>
      <c r="K5" s="31">
        <f>J5+1</f>
        <v>46119</v>
      </c>
      <c r="L5" s="31">
        <f t="shared" ref="L5:AY5" si="0">K5+1</f>
        <v>46120</v>
      </c>
      <c r="M5" s="31">
        <f t="shared" si="0"/>
        <v>46121</v>
      </c>
      <c r="N5" s="31">
        <f t="shared" si="0"/>
        <v>46122</v>
      </c>
      <c r="O5" s="31">
        <f t="shared" si="0"/>
        <v>46123</v>
      </c>
      <c r="P5" s="32">
        <f t="shared" si="0"/>
        <v>46124</v>
      </c>
      <c r="Q5" s="33">
        <f>P5+1</f>
        <v>46125</v>
      </c>
      <c r="R5" s="31">
        <f>Q5+1</f>
        <v>46126</v>
      </c>
      <c r="S5" s="31">
        <f t="shared" si="0"/>
        <v>46127</v>
      </c>
      <c r="T5" s="31">
        <f t="shared" si="0"/>
        <v>46128</v>
      </c>
      <c r="U5" s="31">
        <f t="shared" si="0"/>
        <v>46129</v>
      </c>
      <c r="V5" s="31">
        <f t="shared" si="0"/>
        <v>46130</v>
      </c>
      <c r="W5" s="32">
        <f t="shared" si="0"/>
        <v>46131</v>
      </c>
      <c r="X5" s="33">
        <f>W5+1</f>
        <v>46132</v>
      </c>
      <c r="Y5" s="31">
        <f>X5+1</f>
        <v>46133</v>
      </c>
      <c r="Z5" s="31">
        <f t="shared" si="0"/>
        <v>46134</v>
      </c>
      <c r="AA5" s="31">
        <f t="shared" si="0"/>
        <v>46135</v>
      </c>
      <c r="AB5" s="31">
        <f t="shared" si="0"/>
        <v>46136</v>
      </c>
      <c r="AC5" s="31">
        <f t="shared" si="0"/>
        <v>46137</v>
      </c>
      <c r="AD5" s="32">
        <f t="shared" si="0"/>
        <v>46138</v>
      </c>
      <c r="AE5" s="33">
        <f>AD5+1</f>
        <v>46139</v>
      </c>
      <c r="AF5" s="31">
        <f>AE5+1</f>
        <v>46140</v>
      </c>
      <c r="AG5" s="31">
        <f t="shared" si="0"/>
        <v>46141</v>
      </c>
      <c r="AH5" s="31">
        <f t="shared" si="0"/>
        <v>46142</v>
      </c>
      <c r="AI5" s="31">
        <f t="shared" si="0"/>
        <v>46143</v>
      </c>
      <c r="AJ5" s="31">
        <f t="shared" si="0"/>
        <v>46144</v>
      </c>
      <c r="AK5" s="32">
        <f t="shared" si="0"/>
        <v>46145</v>
      </c>
      <c r="AL5" s="33">
        <f>AK5+1</f>
        <v>46146</v>
      </c>
      <c r="AM5" s="31">
        <f>AL5+1</f>
        <v>46147</v>
      </c>
      <c r="AN5" s="31">
        <f t="shared" si="0"/>
        <v>46148</v>
      </c>
      <c r="AO5" s="31">
        <f t="shared" si="0"/>
        <v>46149</v>
      </c>
      <c r="AP5" s="31">
        <f t="shared" si="0"/>
        <v>46150</v>
      </c>
      <c r="AQ5" s="31">
        <f t="shared" si="0"/>
        <v>46151</v>
      </c>
      <c r="AR5" s="32">
        <f t="shared" si="0"/>
        <v>46152</v>
      </c>
      <c r="AS5" s="33">
        <f>AR5+1</f>
        <v>46153</v>
      </c>
      <c r="AT5" s="31">
        <f>AS5+1</f>
        <v>46154</v>
      </c>
      <c r="AU5" s="31">
        <f t="shared" si="0"/>
        <v>46155</v>
      </c>
      <c r="AV5" s="31">
        <f t="shared" si="0"/>
        <v>46156</v>
      </c>
      <c r="AW5" s="31">
        <f t="shared" si="0"/>
        <v>46157</v>
      </c>
      <c r="AX5" s="31">
        <f t="shared" si="0"/>
        <v>46158</v>
      </c>
      <c r="AY5" s="32">
        <f t="shared" si="0"/>
        <v>46159</v>
      </c>
      <c r="AZ5" s="33">
        <f>AY5+1</f>
        <v>46160</v>
      </c>
      <c r="BA5" s="31">
        <f>AZ5+1</f>
        <v>46161</v>
      </c>
      <c r="BB5" s="31">
        <f t="shared" ref="BB5:BF5" si="1">BA5+1</f>
        <v>46162</v>
      </c>
      <c r="BC5" s="31">
        <f t="shared" si="1"/>
        <v>46163</v>
      </c>
      <c r="BD5" s="31">
        <f t="shared" si="1"/>
        <v>46164</v>
      </c>
      <c r="BE5" s="31">
        <f t="shared" si="1"/>
        <v>46165</v>
      </c>
      <c r="BF5" s="32">
        <f t="shared" si="1"/>
        <v>46166</v>
      </c>
      <c r="BG5" s="33">
        <f>BF5+1</f>
        <v>46167</v>
      </c>
      <c r="BH5" s="31">
        <f>BG5+1</f>
        <v>46168</v>
      </c>
      <c r="BI5" s="31">
        <f t="shared" ref="BI5:BM5" si="2">BH5+1</f>
        <v>46169</v>
      </c>
      <c r="BJ5" s="31">
        <f t="shared" si="2"/>
        <v>46170</v>
      </c>
      <c r="BK5" s="31">
        <f t="shared" si="2"/>
        <v>46171</v>
      </c>
      <c r="BL5" s="31">
        <f t="shared" si="2"/>
        <v>46172</v>
      </c>
      <c r="BM5" s="31">
        <f t="shared" si="2"/>
        <v>46173</v>
      </c>
    </row>
    <row r="6" spans="1:65" s="26" customFormat="1" ht="15" customHeight="1" thickBot="1" x14ac:dyDescent="0.3">
      <c r="A6" s="127"/>
      <c r="B6" s="129"/>
      <c r="C6" s="121"/>
      <c r="D6" s="121"/>
      <c r="E6" s="121"/>
      <c r="F6" s="121"/>
      <c r="G6" s="121"/>
      <c r="J6" s="34" t="str">
        <f t="shared" ref="J6:AO6" si="3">LEFT(TEXT(J5,"ddd"),1)</f>
        <v>M</v>
      </c>
      <c r="K6" s="35" t="str">
        <f t="shared" si="3"/>
        <v>T</v>
      </c>
      <c r="L6" s="35" t="str">
        <f t="shared" si="3"/>
        <v>W</v>
      </c>
      <c r="M6" s="35" t="str">
        <f t="shared" si="3"/>
        <v>T</v>
      </c>
      <c r="N6" s="35" t="str">
        <f t="shared" si="3"/>
        <v>F</v>
      </c>
      <c r="O6" s="35" t="str">
        <f t="shared" si="3"/>
        <v>S</v>
      </c>
      <c r="P6" s="35" t="str">
        <f t="shared" si="3"/>
        <v>S</v>
      </c>
      <c r="Q6" s="35" t="str">
        <f t="shared" si="3"/>
        <v>M</v>
      </c>
      <c r="R6" s="35" t="str">
        <f t="shared" si="3"/>
        <v>T</v>
      </c>
      <c r="S6" s="35" t="str">
        <f t="shared" si="3"/>
        <v>W</v>
      </c>
      <c r="T6" s="35" t="str">
        <f t="shared" si="3"/>
        <v>T</v>
      </c>
      <c r="U6" s="35" t="str">
        <f t="shared" si="3"/>
        <v>F</v>
      </c>
      <c r="V6" s="35" t="str">
        <f t="shared" si="3"/>
        <v>S</v>
      </c>
      <c r="W6" s="35" t="str">
        <f t="shared" si="3"/>
        <v>S</v>
      </c>
      <c r="X6" s="35" t="str">
        <f t="shared" si="3"/>
        <v>M</v>
      </c>
      <c r="Y6" s="35" t="str">
        <f t="shared" si="3"/>
        <v>T</v>
      </c>
      <c r="Z6" s="35" t="str">
        <f t="shared" si="3"/>
        <v>W</v>
      </c>
      <c r="AA6" s="35" t="str">
        <f t="shared" si="3"/>
        <v>T</v>
      </c>
      <c r="AB6" s="35" t="str">
        <f t="shared" si="3"/>
        <v>F</v>
      </c>
      <c r="AC6" s="35" t="str">
        <f t="shared" si="3"/>
        <v>S</v>
      </c>
      <c r="AD6" s="35" t="str">
        <f t="shared" si="3"/>
        <v>S</v>
      </c>
      <c r="AE6" s="35" t="str">
        <f t="shared" si="3"/>
        <v>M</v>
      </c>
      <c r="AF6" s="35" t="str">
        <f t="shared" si="3"/>
        <v>T</v>
      </c>
      <c r="AG6" s="35" t="str">
        <f t="shared" si="3"/>
        <v>W</v>
      </c>
      <c r="AH6" s="35" t="str">
        <f t="shared" si="3"/>
        <v>T</v>
      </c>
      <c r="AI6" s="35" t="str">
        <f t="shared" si="3"/>
        <v>F</v>
      </c>
      <c r="AJ6" s="35" t="str">
        <f t="shared" si="3"/>
        <v>S</v>
      </c>
      <c r="AK6" s="35" t="str">
        <f t="shared" si="3"/>
        <v>S</v>
      </c>
      <c r="AL6" s="35" t="str">
        <f t="shared" si="3"/>
        <v>M</v>
      </c>
      <c r="AM6" s="35" t="str">
        <f t="shared" si="3"/>
        <v>T</v>
      </c>
      <c r="AN6" s="35" t="str">
        <f t="shared" si="3"/>
        <v>W</v>
      </c>
      <c r="AO6" s="35" t="str">
        <f t="shared" si="3"/>
        <v>T</v>
      </c>
      <c r="AP6" s="35" t="str">
        <f t="shared" ref="AP6:BM6" si="4">LEFT(TEXT(AP5,"ddd"),1)</f>
        <v>F</v>
      </c>
      <c r="AQ6" s="35" t="str">
        <f t="shared" si="4"/>
        <v>S</v>
      </c>
      <c r="AR6" s="35" t="str">
        <f t="shared" si="4"/>
        <v>S</v>
      </c>
      <c r="AS6" s="35" t="str">
        <f t="shared" si="4"/>
        <v>M</v>
      </c>
      <c r="AT6" s="35" t="str">
        <f t="shared" si="4"/>
        <v>T</v>
      </c>
      <c r="AU6" s="35" t="str">
        <f t="shared" si="4"/>
        <v>W</v>
      </c>
      <c r="AV6" s="35" t="str">
        <f t="shared" si="4"/>
        <v>T</v>
      </c>
      <c r="AW6" s="35" t="str">
        <f t="shared" si="4"/>
        <v>F</v>
      </c>
      <c r="AX6" s="35" t="str">
        <f t="shared" si="4"/>
        <v>S</v>
      </c>
      <c r="AY6" s="35" t="str">
        <f t="shared" si="4"/>
        <v>S</v>
      </c>
      <c r="AZ6" s="35" t="str">
        <f t="shared" si="4"/>
        <v>M</v>
      </c>
      <c r="BA6" s="35" t="str">
        <f t="shared" si="4"/>
        <v>T</v>
      </c>
      <c r="BB6" s="35" t="str">
        <f t="shared" si="4"/>
        <v>W</v>
      </c>
      <c r="BC6" s="35" t="str">
        <f t="shared" si="4"/>
        <v>T</v>
      </c>
      <c r="BD6" s="35" t="str">
        <f t="shared" si="4"/>
        <v>F</v>
      </c>
      <c r="BE6" s="35" t="str">
        <f t="shared" si="4"/>
        <v>S</v>
      </c>
      <c r="BF6" s="35" t="str">
        <f t="shared" si="4"/>
        <v>S</v>
      </c>
      <c r="BG6" s="35" t="str">
        <f t="shared" si="4"/>
        <v>M</v>
      </c>
      <c r="BH6" s="35" t="str">
        <f t="shared" si="4"/>
        <v>T</v>
      </c>
      <c r="BI6" s="35" t="str">
        <f t="shared" si="4"/>
        <v>W</v>
      </c>
      <c r="BJ6" s="35" t="str">
        <f t="shared" si="4"/>
        <v>T</v>
      </c>
      <c r="BK6" s="35" t="str">
        <f t="shared" si="4"/>
        <v>F</v>
      </c>
      <c r="BL6" s="35" t="str">
        <f t="shared" si="4"/>
        <v>S</v>
      </c>
      <c r="BM6" s="36" t="str">
        <f t="shared" si="4"/>
        <v>S</v>
      </c>
    </row>
    <row r="7" spans="1:65" s="26" customFormat="1" ht="30" hidden="1" customHeight="1" thickBot="1" x14ac:dyDescent="0.3">
      <c r="A7" s="13" t="s">
        <v>12</v>
      </c>
      <c r="B7" s="37"/>
      <c r="C7" s="37"/>
      <c r="D7" s="38"/>
      <c r="E7" s="37"/>
      <c r="F7" s="37"/>
      <c r="G7" s="37"/>
      <c r="I7" s="26" t="str">
        <f>IF(OR(ISBLANK(task_start),ISBLANK(task_end)),"",task_end-task_start+1)</f>
        <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row>
    <row r="8" spans="1:65" s="46" customFormat="1" ht="30" customHeight="1" thickBot="1" x14ac:dyDescent="0.3">
      <c r="A8" s="14"/>
      <c r="B8" s="40" t="s">
        <v>13</v>
      </c>
      <c r="C8" s="116" t="s">
        <v>56</v>
      </c>
      <c r="D8" s="41"/>
      <c r="E8" s="42"/>
      <c r="F8" s="43"/>
      <c r="G8" s="44"/>
      <c r="H8" s="17"/>
      <c r="I8" s="5" t="str">
        <f t="shared" ref="I8:I30" si="5">IF(OR(ISBLANK(task_start),ISBLANK(task_end)),"",task_end-task_start+1)</f>
        <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row>
    <row r="9" spans="1:65" s="46" customFormat="1" ht="30" customHeight="1" thickBot="1" x14ac:dyDescent="0.3">
      <c r="A9" s="14"/>
      <c r="B9" s="101" t="s">
        <v>14</v>
      </c>
      <c r="C9" s="104"/>
      <c r="D9" s="47" t="s">
        <v>15</v>
      </c>
      <c r="E9" s="48">
        <v>0</v>
      </c>
      <c r="F9" s="49">
        <f>Project_Start</f>
        <v>46118</v>
      </c>
      <c r="G9" s="49">
        <f>F9+1</f>
        <v>46119</v>
      </c>
      <c r="H9" s="17"/>
      <c r="I9" s="5">
        <f t="shared" si="5"/>
        <v>2</v>
      </c>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row>
    <row r="10" spans="1:65" s="46" customFormat="1" ht="30" customHeight="1" thickBot="1" x14ac:dyDescent="0.3">
      <c r="A10" s="14"/>
      <c r="B10" s="101" t="s">
        <v>16</v>
      </c>
      <c r="C10" s="104"/>
      <c r="D10" s="51" t="s">
        <v>17</v>
      </c>
      <c r="E10" s="52">
        <v>0</v>
      </c>
      <c r="F10" s="53">
        <f>F9</f>
        <v>46118</v>
      </c>
      <c r="G10" s="53">
        <f>F10+1</f>
        <v>46119</v>
      </c>
      <c r="H10" s="17"/>
      <c r="I10" s="5">
        <f t="shared" si="5"/>
        <v>2</v>
      </c>
      <c r="J10" s="50"/>
      <c r="K10" s="50"/>
      <c r="L10" s="50"/>
      <c r="M10" s="50"/>
      <c r="N10" s="50"/>
      <c r="O10" s="50"/>
      <c r="P10" s="50"/>
      <c r="Q10" s="50"/>
      <c r="R10" s="50"/>
      <c r="S10" s="50"/>
      <c r="T10" s="50"/>
      <c r="U10" s="50"/>
      <c r="V10" s="54"/>
      <c r="W10" s="54"/>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row>
    <row r="11" spans="1:65" s="46" customFormat="1" ht="30" customHeight="1" thickBot="1" x14ac:dyDescent="0.3">
      <c r="A11" s="13"/>
      <c r="B11" s="101" t="s">
        <v>18</v>
      </c>
      <c r="C11" s="112" t="s">
        <v>19</v>
      </c>
      <c r="D11" s="51" t="s">
        <v>20</v>
      </c>
      <c r="E11" s="52">
        <v>0</v>
      </c>
      <c r="F11" s="53">
        <f>G10+1</f>
        <v>46120</v>
      </c>
      <c r="G11" s="53">
        <f>F11+2</f>
        <v>46122</v>
      </c>
      <c r="H11" s="17"/>
      <c r="I11" s="5">
        <f t="shared" si="5"/>
        <v>3</v>
      </c>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row>
    <row r="12" spans="1:65" s="46" customFormat="1" ht="30" customHeight="1" thickBot="1" x14ac:dyDescent="0.3">
      <c r="A12" s="13"/>
      <c r="B12" s="101" t="s">
        <v>21</v>
      </c>
      <c r="C12" s="104">
        <v>11</v>
      </c>
      <c r="D12" s="51" t="s">
        <v>17</v>
      </c>
      <c r="E12" s="52">
        <v>0</v>
      </c>
      <c r="F12" s="53">
        <f>G11-1</f>
        <v>46121</v>
      </c>
      <c r="G12" s="53">
        <f>F12+2</f>
        <v>46123</v>
      </c>
      <c r="H12" s="17"/>
      <c r="I12" s="5">
        <f t="shared" si="5"/>
        <v>3</v>
      </c>
      <c r="J12" s="50"/>
      <c r="K12" s="50"/>
      <c r="L12" s="50"/>
      <c r="M12" s="50"/>
      <c r="N12" s="50"/>
      <c r="O12" s="50"/>
      <c r="P12" s="50"/>
      <c r="Q12" s="50"/>
      <c r="R12" s="50"/>
      <c r="S12" s="50"/>
      <c r="T12" s="50"/>
      <c r="U12" s="50"/>
      <c r="V12" s="50"/>
      <c r="W12" s="50"/>
      <c r="X12" s="50"/>
      <c r="Y12" s="50"/>
      <c r="Z12" s="54"/>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row>
    <row r="13" spans="1:65" s="46" customFormat="1" ht="30" customHeight="1" thickBot="1" x14ac:dyDescent="0.3">
      <c r="A13" s="13"/>
      <c r="B13" s="101" t="s">
        <v>22</v>
      </c>
      <c r="C13" s="104">
        <v>11</v>
      </c>
      <c r="D13" s="51" t="s">
        <v>20</v>
      </c>
      <c r="E13" s="52">
        <v>0</v>
      </c>
      <c r="F13" s="53">
        <f>F10+5</f>
        <v>46123</v>
      </c>
      <c r="G13" s="53">
        <f>F13+3</f>
        <v>46126</v>
      </c>
      <c r="H13" s="17"/>
      <c r="I13" s="5">
        <f t="shared" si="5"/>
        <v>4</v>
      </c>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row>
    <row r="14" spans="1:65" s="46" customFormat="1" ht="30" customHeight="1" thickBot="1" x14ac:dyDescent="0.3">
      <c r="A14" s="14"/>
      <c r="B14" s="55" t="s">
        <v>23</v>
      </c>
      <c r="C14" s="55"/>
      <c r="D14" s="56"/>
      <c r="E14" s="57"/>
      <c r="F14" s="58"/>
      <c r="G14" s="59"/>
      <c r="H14" s="17"/>
      <c r="I14" s="5" t="str">
        <f t="shared" si="5"/>
        <v/>
      </c>
    </row>
    <row r="15" spans="1:65" s="46" customFormat="1" ht="30" customHeight="1" thickBot="1" x14ac:dyDescent="0.3">
      <c r="A15" s="14"/>
      <c r="B15" s="102" t="s">
        <v>24</v>
      </c>
      <c r="C15" s="105">
        <v>13</v>
      </c>
      <c r="D15" s="60" t="s">
        <v>20</v>
      </c>
      <c r="E15" s="61">
        <v>0</v>
      </c>
      <c r="F15" s="62">
        <f>F13+3</f>
        <v>46126</v>
      </c>
      <c r="G15" s="62">
        <f>F15+3</f>
        <v>46129</v>
      </c>
      <c r="H15" s="17"/>
      <c r="I15" s="5">
        <f t="shared" si="5"/>
        <v>4</v>
      </c>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row>
    <row r="16" spans="1:65" s="46" customFormat="1" ht="30" customHeight="1" thickBot="1" x14ac:dyDescent="0.3">
      <c r="A16" s="13"/>
      <c r="B16" s="103" t="s">
        <v>25</v>
      </c>
      <c r="C16" s="105">
        <v>13</v>
      </c>
      <c r="D16" s="60" t="s">
        <v>17</v>
      </c>
      <c r="E16" s="61">
        <v>0</v>
      </c>
      <c r="F16" s="62">
        <f>F15+1</f>
        <v>46127</v>
      </c>
      <c r="G16" s="62">
        <f>F16+3</f>
        <v>46130</v>
      </c>
      <c r="H16" s="17"/>
      <c r="I16" s="5">
        <f t="shared" si="5"/>
        <v>4</v>
      </c>
      <c r="J16" s="50"/>
      <c r="K16" s="50"/>
      <c r="L16" s="50"/>
      <c r="M16" s="50"/>
      <c r="N16" s="50"/>
      <c r="O16" s="50"/>
      <c r="P16" s="50"/>
      <c r="Q16" s="50"/>
      <c r="R16" s="50"/>
      <c r="S16" s="50"/>
      <c r="T16" s="50"/>
      <c r="U16" s="50"/>
      <c r="V16" s="54"/>
      <c r="W16" s="54"/>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row>
    <row r="17" spans="1:65" s="46" customFormat="1" ht="30" customHeight="1" thickBot="1" x14ac:dyDescent="0.3">
      <c r="A17" s="13"/>
      <c r="B17" s="103" t="s">
        <v>26</v>
      </c>
      <c r="C17" s="105">
        <v>13</v>
      </c>
      <c r="D17" s="60" t="s">
        <v>20</v>
      </c>
      <c r="E17" s="61">
        <v>0</v>
      </c>
      <c r="F17" s="62">
        <f>G16+2</f>
        <v>46132</v>
      </c>
      <c r="G17" s="62">
        <f>F17+2</f>
        <v>46134</v>
      </c>
      <c r="H17" s="17"/>
      <c r="I17" s="5">
        <f t="shared" si="5"/>
        <v>3</v>
      </c>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row>
    <row r="18" spans="1:65" s="46" customFormat="1" ht="30" customHeight="1" thickBot="1" x14ac:dyDescent="0.3">
      <c r="A18" s="13"/>
      <c r="B18" s="103" t="s">
        <v>27</v>
      </c>
      <c r="C18" s="113" t="s">
        <v>28</v>
      </c>
      <c r="D18" s="60" t="s">
        <v>15</v>
      </c>
      <c r="E18" s="61">
        <v>0</v>
      </c>
      <c r="F18" s="62">
        <f>F17+2</f>
        <v>46134</v>
      </c>
      <c r="G18" s="62">
        <f>F18+2</f>
        <v>46136</v>
      </c>
      <c r="H18" s="17"/>
      <c r="I18" s="5">
        <f t="shared" si="5"/>
        <v>3</v>
      </c>
      <c r="J18" s="50"/>
      <c r="K18" s="50"/>
      <c r="L18" s="50"/>
      <c r="M18" s="50"/>
      <c r="N18" s="50"/>
      <c r="O18" s="50"/>
      <c r="P18" s="50"/>
      <c r="Q18" s="50"/>
      <c r="R18" s="50"/>
      <c r="S18" s="50"/>
      <c r="T18" s="50"/>
      <c r="U18" s="50"/>
      <c r="V18" s="50"/>
      <c r="W18" s="50"/>
      <c r="X18" s="50"/>
      <c r="Y18" s="50"/>
      <c r="Z18" s="54"/>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row>
    <row r="19" spans="1:65" s="46" customFormat="1" ht="30" customHeight="1" thickBot="1" x14ac:dyDescent="0.3">
      <c r="A19" s="13"/>
      <c r="B19" s="63" t="s">
        <v>29</v>
      </c>
      <c r="C19" s="63"/>
      <c r="D19" s="64"/>
      <c r="E19" s="65"/>
      <c r="F19" s="66"/>
      <c r="G19" s="67"/>
      <c r="H19" s="17"/>
      <c r="I19" s="5" t="str">
        <f t="shared" si="5"/>
        <v/>
      </c>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row>
    <row r="20" spans="1:65" s="46" customFormat="1" ht="30" customHeight="1" thickBot="1" x14ac:dyDescent="0.3">
      <c r="A20" s="13"/>
      <c r="B20" s="106" t="s">
        <v>30</v>
      </c>
      <c r="C20" s="111"/>
      <c r="D20" s="69" t="s">
        <v>20</v>
      </c>
      <c r="E20" s="70">
        <v>0</v>
      </c>
      <c r="F20" s="71">
        <v>46118</v>
      </c>
      <c r="G20" s="71">
        <f>F20+3</f>
        <v>46121</v>
      </c>
      <c r="H20" s="17"/>
      <c r="I20" s="5">
        <f t="shared" si="5"/>
        <v>4</v>
      </c>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row>
    <row r="21" spans="1:65" s="46" customFormat="1" ht="30" customHeight="1" thickBot="1" x14ac:dyDescent="0.3">
      <c r="A21" s="13"/>
      <c r="B21" s="107" t="s">
        <v>31</v>
      </c>
      <c r="C21" s="111">
        <v>20</v>
      </c>
      <c r="D21" s="69" t="s">
        <v>32</v>
      </c>
      <c r="E21" s="70">
        <v>0</v>
      </c>
      <c r="F21" s="71">
        <f>G20+7</f>
        <v>46128</v>
      </c>
      <c r="G21" s="71">
        <f>F21+6</f>
        <v>46134</v>
      </c>
      <c r="H21" s="17"/>
      <c r="I21" s="5">
        <f t="shared" si="5"/>
        <v>7</v>
      </c>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row>
    <row r="22" spans="1:65" s="46" customFormat="1" ht="30" customHeight="1" thickBot="1" x14ac:dyDescent="0.3">
      <c r="A22" s="13"/>
      <c r="B22" s="107" t="s">
        <v>33</v>
      </c>
      <c r="C22" s="114" t="s">
        <v>28</v>
      </c>
      <c r="D22" s="69" t="s">
        <v>17</v>
      </c>
      <c r="E22" s="70">
        <v>0</v>
      </c>
      <c r="F22" s="71">
        <f>G21+2</f>
        <v>46136</v>
      </c>
      <c r="G22" s="71">
        <f>F22+3</f>
        <v>46139</v>
      </c>
      <c r="H22" s="17"/>
      <c r="I22" s="5">
        <f t="shared" si="5"/>
        <v>4</v>
      </c>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row>
    <row r="23" spans="1:65" s="46" customFormat="1" ht="30" customHeight="1" thickBot="1" x14ac:dyDescent="0.3">
      <c r="A23" s="13"/>
      <c r="B23" s="72" t="s">
        <v>34</v>
      </c>
      <c r="C23" s="72"/>
      <c r="D23" s="73"/>
      <c r="E23" s="74"/>
      <c r="F23" s="75"/>
      <c r="G23" s="76"/>
      <c r="H23" s="17"/>
      <c r="I23" s="5" t="str">
        <f t="shared" si="5"/>
        <v/>
      </c>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row>
    <row r="24" spans="1:65" s="46" customFormat="1" ht="30" customHeight="1" thickBot="1" x14ac:dyDescent="0.3">
      <c r="A24" s="13"/>
      <c r="B24" s="108" t="s">
        <v>35</v>
      </c>
      <c r="C24" s="110"/>
      <c r="D24" s="78" t="s">
        <v>20</v>
      </c>
      <c r="E24" s="79">
        <v>0</v>
      </c>
      <c r="F24" s="80">
        <f>F20+1</f>
        <v>46119</v>
      </c>
      <c r="G24" s="80">
        <f>F24+3</f>
        <v>46122</v>
      </c>
      <c r="H24" s="17"/>
      <c r="I24" s="5">
        <f t="shared" si="5"/>
        <v>4</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row>
    <row r="25" spans="1:65" s="46" customFormat="1" ht="30" customHeight="1" thickBot="1" x14ac:dyDescent="0.3">
      <c r="A25" s="13"/>
      <c r="B25" s="109" t="s">
        <v>36</v>
      </c>
      <c r="C25" s="110"/>
      <c r="D25" s="78" t="s">
        <v>15</v>
      </c>
      <c r="E25" s="79">
        <v>0</v>
      </c>
      <c r="F25" s="80">
        <f>F24-1</f>
        <v>46118</v>
      </c>
      <c r="G25" s="80">
        <v>46149</v>
      </c>
      <c r="H25" s="17"/>
      <c r="I25" s="5">
        <f t="shared" si="5"/>
        <v>32</v>
      </c>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row>
    <row r="26" spans="1:65" s="46" customFormat="1" ht="30" customHeight="1" thickBot="1" x14ac:dyDescent="0.3">
      <c r="A26" s="13"/>
      <c r="B26" s="109" t="s">
        <v>37</v>
      </c>
      <c r="C26" s="110">
        <v>18</v>
      </c>
      <c r="D26" s="78" t="s">
        <v>17</v>
      </c>
      <c r="E26" s="79">
        <v>0</v>
      </c>
      <c r="F26" s="80">
        <f>G25-3</f>
        <v>46146</v>
      </c>
      <c r="G26" s="80">
        <f>F26+2</f>
        <v>46148</v>
      </c>
      <c r="H26" s="17"/>
      <c r="I26" s="5">
        <f t="shared" si="5"/>
        <v>3</v>
      </c>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row>
    <row r="27" spans="1:65" s="46" customFormat="1" ht="30" customHeight="1" thickBot="1" x14ac:dyDescent="0.3">
      <c r="A27" s="13"/>
      <c r="B27" s="109" t="s">
        <v>38</v>
      </c>
      <c r="C27" s="110">
        <v>18</v>
      </c>
      <c r="D27" s="78" t="s">
        <v>20</v>
      </c>
      <c r="E27" s="79">
        <v>0</v>
      </c>
      <c r="F27" s="80">
        <f>F26</f>
        <v>46146</v>
      </c>
      <c r="G27" s="80">
        <f>F27+2</f>
        <v>46148</v>
      </c>
      <c r="H27" s="17"/>
      <c r="I27" s="5">
        <f t="shared" si="5"/>
        <v>3</v>
      </c>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row>
    <row r="28" spans="1:65" s="46" customFormat="1" ht="30" customHeight="1" thickBot="1" x14ac:dyDescent="0.3">
      <c r="A28" s="13"/>
      <c r="B28" s="109" t="s">
        <v>39</v>
      </c>
      <c r="C28" s="115" t="s">
        <v>40</v>
      </c>
      <c r="D28" s="78" t="s">
        <v>32</v>
      </c>
      <c r="E28" s="79">
        <v>0</v>
      </c>
      <c r="F28" s="80">
        <f>F27+3</f>
        <v>46149</v>
      </c>
      <c r="G28" s="80">
        <f>F28+1</f>
        <v>46150</v>
      </c>
      <c r="H28" s="17"/>
      <c r="I28" s="5">
        <f t="shared" si="5"/>
        <v>2</v>
      </c>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row>
    <row r="29" spans="1:65" s="46" customFormat="1" ht="30" customHeight="1" thickBot="1" x14ac:dyDescent="0.3">
      <c r="A29" s="13"/>
      <c r="B29" s="81"/>
      <c r="C29" s="81"/>
      <c r="D29" s="82"/>
      <c r="E29" s="83"/>
      <c r="F29" s="84"/>
      <c r="G29" s="84"/>
      <c r="H29" s="17"/>
      <c r="I29" s="5" t="str">
        <f t="shared" si="5"/>
        <v/>
      </c>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row>
    <row r="30" spans="1:65" s="46" customFormat="1" ht="30" customHeight="1" thickBot="1" x14ac:dyDescent="0.3">
      <c r="A30" s="14"/>
      <c r="B30" s="85" t="s">
        <v>41</v>
      </c>
      <c r="C30" s="85"/>
      <c r="D30" s="86"/>
      <c r="E30" s="87"/>
      <c r="F30" s="88"/>
      <c r="G30" s="89"/>
      <c r="H30" s="17"/>
      <c r="I30" s="6" t="str">
        <f t="shared" si="5"/>
        <v/>
      </c>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90"/>
    </row>
    <row r="31" spans="1:65" ht="30" customHeight="1" x14ac:dyDescent="0.25">
      <c r="H31" s="3"/>
    </row>
    <row r="32" spans="1:65" ht="30" customHeight="1" x14ac:dyDescent="0.25">
      <c r="D32" s="16"/>
      <c r="G32" s="15"/>
    </row>
    <row r="33" spans="4:4" ht="30" customHeight="1" x14ac:dyDescent="0.25">
      <c r="D33" s="4"/>
    </row>
  </sheetData>
  <mergeCells count="19">
    <mergeCell ref="A5:A6"/>
    <mergeCell ref="B5:B6"/>
    <mergeCell ref="D5:D6"/>
    <mergeCell ref="E5:E6"/>
    <mergeCell ref="F5:F6"/>
    <mergeCell ref="C5:C6"/>
    <mergeCell ref="G5:G6"/>
    <mergeCell ref="R2:AA2"/>
    <mergeCell ref="R1:AA1"/>
    <mergeCell ref="J1:P1"/>
    <mergeCell ref="J2:P2"/>
    <mergeCell ref="BG4:BM4"/>
    <mergeCell ref="J4:P4"/>
    <mergeCell ref="Q4:W4"/>
    <mergeCell ref="X4:AD4"/>
    <mergeCell ref="AE4:AK4"/>
    <mergeCell ref="AL4:AR4"/>
    <mergeCell ref="AS4:AY4"/>
    <mergeCell ref="AZ4:BF4"/>
  </mergeCells>
  <conditionalFormatting sqref="E7:E3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J4:BM28">
    <cfRule type="expression" dxfId="8" priority="1">
      <formula>AND(TODAY()&gt;=J$5, TODAY()&lt;K$5)</formula>
    </cfRule>
  </conditionalFormatting>
  <conditionalFormatting sqref="J9:BM13">
    <cfRule type="expression" dxfId="7" priority="6">
      <formula>AND(task_start&lt;=J$5,ROUNDDOWN((task_end-task_start+1)*task_progress,0)+task_start-1&gt;=J$5)</formula>
    </cfRule>
    <cfRule type="expression" dxfId="6" priority="7" stopIfTrue="1">
      <formula>AND(task_end&gt;=J$5,task_start&lt;K$5)</formula>
    </cfRule>
  </conditionalFormatting>
  <conditionalFormatting sqref="J15:BM18">
    <cfRule type="expression" dxfId="5" priority="4">
      <formula>AND(task_start&lt;=J$5,ROUNDDOWN((task_end-task_start+1)*task_progress,0)+task_start-1&gt;=J$5)</formula>
    </cfRule>
    <cfRule type="expression" dxfId="4" priority="5" stopIfTrue="1">
      <formula>AND(task_end&gt;=J$5,task_start&lt;K$5)</formula>
    </cfRule>
  </conditionalFormatting>
  <conditionalFormatting sqref="J20:BM22">
    <cfRule type="expression" dxfId="3" priority="2">
      <formula>AND(task_start&lt;=J$5,ROUNDDOWN((task_end-task_start+1)*task_progress,0)+task_start-1&gt;=J$5)</formula>
    </cfRule>
    <cfRule type="expression" dxfId="2" priority="3" stopIfTrue="1">
      <formula>AND(task_end&gt;=J$5,task_start&lt;K$5)</formula>
    </cfRule>
  </conditionalFormatting>
  <conditionalFormatting sqref="J24:BM28">
    <cfRule type="expression" dxfId="1" priority="36">
      <formula>AND(task_start&lt;=J$5,ROUNDDOWN((task_end-task_start+1)*task_progress,0)+task_start-1&gt;=J$5)</formula>
    </cfRule>
    <cfRule type="expression" dxfId="0" priority="37" stopIfTrue="1">
      <formula>AND(task_end&gt;=J$5,task_start&lt;K$5)</formula>
    </cfRule>
  </conditionalFormatting>
  <dataValidations disablePrompts="1" count="13">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43" fitToHeight="0" orientation="landscape" r:id="rId3"/>
  <headerFooter differentFirst="1" scaleWithDoc="0">
    <oddFooter>Page &amp;P of &amp;N</oddFooter>
  </headerFooter>
  <ignoredErrors>
    <ignoredError sqref="G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4" t="s">
        <v>5</v>
      </c>
      <c r="B2" s="8"/>
    </row>
    <row r="3" spans="1:2" s="11" customFormat="1" ht="27" customHeight="1" x14ac:dyDescent="0.25">
      <c r="A3" s="95"/>
      <c r="B3" s="12"/>
    </row>
    <row r="4" spans="1:2" s="10" customFormat="1" ht="30" x14ac:dyDescent="0.7">
      <c r="A4" s="96" t="s">
        <v>42</v>
      </c>
    </row>
    <row r="5" spans="1:2" ht="74.25" customHeight="1" x14ac:dyDescent="0.25">
      <c r="A5" s="97" t="s">
        <v>43</v>
      </c>
    </row>
    <row r="6" spans="1:2" ht="26.25" customHeight="1" x14ac:dyDescent="0.25">
      <c r="A6" s="96" t="s">
        <v>44</v>
      </c>
    </row>
    <row r="7" spans="1:2" s="7" customFormat="1" ht="205.2" customHeight="1" x14ac:dyDescent="0.25">
      <c r="A7" s="98" t="s">
        <v>45</v>
      </c>
    </row>
    <row r="8" spans="1:2" s="10" customFormat="1" ht="30" x14ac:dyDescent="0.7">
      <c r="A8" s="96" t="s">
        <v>46</v>
      </c>
    </row>
    <row r="9" spans="1:2" ht="41.4" x14ac:dyDescent="0.25">
      <c r="A9" s="97" t="s">
        <v>47</v>
      </c>
    </row>
    <row r="10" spans="1:2" s="7" customFormat="1" ht="28.2" customHeight="1" x14ac:dyDescent="0.25">
      <c r="A10" s="99" t="s">
        <v>48</v>
      </c>
    </row>
    <row r="11" spans="1:2" s="10" customFormat="1" ht="30" x14ac:dyDescent="0.7">
      <c r="A11" s="96" t="s">
        <v>49</v>
      </c>
    </row>
    <row r="12" spans="1:2" ht="27.6" x14ac:dyDescent="0.25">
      <c r="A12" s="97" t="s">
        <v>50</v>
      </c>
    </row>
    <row r="13" spans="1:2" s="7" customFormat="1" ht="28.2" customHeight="1" x14ac:dyDescent="0.25">
      <c r="A13" s="99" t="s">
        <v>51</v>
      </c>
    </row>
    <row r="14" spans="1:2" s="10" customFormat="1" ht="30" x14ac:dyDescent="0.7">
      <c r="A14" s="96" t="s">
        <v>52</v>
      </c>
    </row>
    <row r="15" spans="1:2" ht="75" customHeight="1" x14ac:dyDescent="0.25">
      <c r="A15" s="97" t="s">
        <v>53</v>
      </c>
    </row>
    <row r="16" spans="1:2" ht="69" x14ac:dyDescent="0.25">
      <c r="A16" s="97" t="s">
        <v>54</v>
      </c>
    </row>
    <row r="17" spans="1:1" x14ac:dyDescent="0.25">
      <c r="A17" s="100"/>
    </row>
    <row r="18" spans="1:1" x14ac:dyDescent="0.25">
      <c r="A18" s="100"/>
    </row>
    <row r="19" spans="1:1" x14ac:dyDescent="0.25">
      <c r="A19" s="100"/>
    </row>
    <row r="20" spans="1:1" x14ac:dyDescent="0.25">
      <c r="A20" s="100"/>
    </row>
    <row r="21" spans="1:1" x14ac:dyDescent="0.25">
      <c r="A21" s="100"/>
    </row>
    <row r="22" spans="1:1" x14ac:dyDescent="0.25">
      <c r="A22" s="100"/>
    </row>
    <row r="23" spans="1:1" x14ac:dyDescent="0.25">
      <c r="A23" s="100"/>
    </row>
    <row r="24" spans="1:1" x14ac:dyDescent="0.25">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http://schemas.microsoft.com/office/2006/metadata/properties"/>
    <ds:schemaRef ds:uri="http://purl.org/dc/dcmitype/"/>
    <ds:schemaRef ds:uri="http://www.w3.org/XML/1998/namespace"/>
    <ds:schemaRef ds:uri="http://schemas.microsoft.com/office/2006/documentManagement/types"/>
    <ds:schemaRef ds:uri="16c05727-aa75-4e4a-9b5f-8a80a1165891"/>
    <ds:schemaRef ds:uri="230e9df3-be65-4c73-a93b-d1236ebd677e"/>
    <ds:schemaRef ds:uri="71af3243-3dd4-4a8d-8c0d-dd76da1f02a5"/>
    <ds:schemaRef ds:uri="http://schemas.openxmlformats.org/package/2006/metadata/core-properties"/>
    <ds:schemaRef ds:uri="http://schemas.microsoft.com/office/infopath/2007/PartnerControls"/>
    <ds:schemaRef ds:uri="http://schemas.microsoft.com/sharepoint/v3"/>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Rashid Hamid</dc:creator>
  <cp:keywords/>
  <dc:description/>
  <cp:lastModifiedBy>Abdi Aden</cp:lastModifiedBy>
  <cp:revision/>
  <dcterms:created xsi:type="dcterms:W3CDTF">2022-03-11T22:41:12Z</dcterms:created>
  <dcterms:modified xsi:type="dcterms:W3CDTF">2026-03-06T17:40:51Z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